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mafaundezp_uc_cl/Documents/UC/proyecto_UC/Git/mafaundezp/Taller_QIM202K/"/>
    </mc:Choice>
  </mc:AlternateContent>
  <xr:revisionPtr revIDLastSave="0" documentId="8_{5D5FF1F4-902B-0A47-9798-EAAC3880C289}" xr6:coauthVersionLast="47" xr6:coauthVersionMax="47" xr10:uidLastSave="{00000000-0000-0000-0000-000000000000}"/>
  <bookViews>
    <workbookView xWindow="0" yWindow="0" windowWidth="44800" windowHeight="25200" activeTab="3" xr2:uid="{050EFF3F-0C8E-594F-BF6A-DDB4EFE7FE2E}"/>
  </bookViews>
  <sheets>
    <sheet name="MM_Perfil_A" sheetId="1" r:id="rId1"/>
    <sheet name="LB_Perfil_A" sheetId="2" r:id="rId2"/>
    <sheet name="MM_Perfil_B" sheetId="3" r:id="rId3"/>
    <sheet name="LB_Perfil_B" sheetId="4" r:id="rId4"/>
    <sheet name="MM_Perfil_C" sheetId="5" r:id="rId5"/>
    <sheet name="LB_Perfil_C" sheetId="6" r:id="rId6"/>
    <sheet name="MM_Perfil_D" sheetId="7" r:id="rId7"/>
    <sheet name="LB_Perfil_D" sheetId="8" r:id="rId8"/>
  </sheets>
  <calcPr calcId="0"/>
</workbook>
</file>

<file path=xl/sharedStrings.xml><?xml version="1.0" encoding="utf-8"?>
<sst xmlns="http://schemas.openxmlformats.org/spreadsheetml/2006/main" count="52" uniqueCount="29">
  <si>
    <t>Perfil A - Michaelis-Menten</t>
  </si>
  <si>
    <t>Patrón esperado: inhibición competitiva</t>
  </si>
  <si>
    <t>[S] (mmol/L)</t>
  </si>
  <si>
    <t>Control v0 (umol/min)</t>
  </si>
  <si>
    <t>Compuesto v0 (umol/min)</t>
  </si>
  <si>
    <t>Parámetros esperados</t>
  </si>
  <si>
    <t>Control: Vmax ≈ 120; Km ≈ 3</t>
  </si>
  <si>
    <t>Compuesto: Vmax ≈ 120; Km ≈ 6</t>
  </si>
  <si>
    <t>Perfil A - Lineweaver-Burk</t>
  </si>
  <si>
    <t>Patrón esperado: intersección aproximada en el eje Y</t>
  </si>
  <si>
    <t>1/[S] (L/mmol)</t>
  </si>
  <si>
    <t>1/v0 control (min/umol)</t>
  </si>
  <si>
    <t>1/v0 compuesto (min/umol)</t>
  </si>
  <si>
    <t>Perfil B - Michaelis-Menten</t>
  </si>
  <si>
    <t>Patrón esperado: inhibición acompetitiva</t>
  </si>
  <si>
    <t>Control: Vmax ≈ 90; Km ≈ 2</t>
  </si>
  <si>
    <t>Compuesto: Vmax ≈ 54; Km ≈ 1,2</t>
  </si>
  <si>
    <t>Perfil B - Lineweaver-Burk</t>
  </si>
  <si>
    <t>Patrón esperado: rectas aproximadamente paralelas</t>
  </si>
  <si>
    <t>Perfil C - Michaelis-Menten</t>
  </si>
  <si>
    <t>Patrón esperado: inhibición mixta</t>
  </si>
  <si>
    <t>Compuesto: Vmax ≈ 60; Km ≈ 6</t>
  </si>
  <si>
    <t>Perfil C - Lineweaver-Burk</t>
  </si>
  <si>
    <t>Patrón esperado: intersección fuera de los ejes</t>
  </si>
  <si>
    <t>Perfil D - Michaelis-Menten</t>
  </si>
  <si>
    <t>Patrón esperado: inhibición no competitiva pura</t>
  </si>
  <si>
    <t>Compuesto: Vmax ≈ 60; Km ≈ 3</t>
  </si>
  <si>
    <t>Perfil D - Lineweaver-Burk</t>
  </si>
  <si>
    <t>Patrón esperado: intersección aproximada en el eje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</si>
</sst>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name val="Arial"/>
      <family val="2"/>
    </font>
    <font>
      <b/>
      <sz val="10"/>
      <color indexed="9"/>
      <name val="Arial"/>
      <family val="2"/>
    </font>
    <font>
      <b/>
      <sz val="10"/>
      <color indexed="56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F3F8"/>
        <bgColor indexed="64"/>
      </patternFill>
    </fill>
    <fill>
      <patternFill patternType="solid">
        <fgColor rgb="FF123B5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NumberFormat="1" applyFont="1" applyFill="1" applyBorder="1" applyAlignment="1" applyProtection="1"/>
    <xf numFmtId="0" fontId="20" fillId="33" borderId="0" xfId="0" applyNumberFormat="1" applyFont="1" applyFill="1" applyBorder="1" applyAlignment="1" applyProtection="1"/>
    <xf numFmtId="0" fontId="19" fillId="34" borderId="0" xfId="0" applyNumberFormat="1" applyFont="1" applyFill="1" applyBorder="1" applyAlignment="1" applyProtection="1"/>
    <xf numFmtId="168" fontId="0" fillId="0" borderId="0" xfId="0" applyNumberFormat="1" applyFont="1" applyFill="1" applyBorder="1" applyAlignment="1" applyProtection="1"/>
    <xf numFmtId="0" fontId="19" fillId="34" borderId="0" xfId="0" quotePrefix="1" applyNumberFormat="1" applyFont="1" applyFill="1" applyBorder="1" applyAlignment="1" applyProtection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840764486482532E-2"/>
          <c:y val="0.02"/>
          <c:w val="0.93181248628751123"/>
          <c:h val="0.85751653543307083"/>
        </c:manualLayout>
      </c:layout>
      <c:scatterChart>
        <c:scatterStyle val="lineMarker"/>
        <c:varyColors val="0"/>
        <c:ser>
          <c:idx val="0"/>
          <c:order val="0"/>
          <c:tx>
            <c:strRef>
              <c:f>MM_Perfil_A!$B$3</c:f>
              <c:strCache>
                <c:ptCount val="1"/>
                <c:pt idx="0">
                  <c:v>Control v0 (umol/min)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MM_Perfil_A!$A$5:$A$10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  <c:pt idx="5">
                  <c:v>24</c:v>
                </c:pt>
              </c:numCache>
            </c:numRef>
          </c:xVal>
          <c:yVal>
            <c:numRef>
              <c:f>MM_Perfil_A!$B$5:$B$10</c:f>
              <c:numCache>
                <c:formatCode>General</c:formatCode>
                <c:ptCount val="6"/>
                <c:pt idx="0">
                  <c:v>30</c:v>
                </c:pt>
                <c:pt idx="1">
                  <c:v>48</c:v>
                </c:pt>
                <c:pt idx="2">
                  <c:v>60</c:v>
                </c:pt>
                <c:pt idx="3">
                  <c:v>80</c:v>
                </c:pt>
                <c:pt idx="4">
                  <c:v>96</c:v>
                </c:pt>
                <c:pt idx="5">
                  <c:v>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1A-6C42-9018-4C6D5B40755E}"/>
            </c:ext>
          </c:extLst>
        </c:ser>
        <c:ser>
          <c:idx val="1"/>
          <c:order val="1"/>
          <c:tx>
            <c:strRef>
              <c:f>MM_Perfil_A!$C$3</c:f>
              <c:strCache>
                <c:ptCount val="1"/>
                <c:pt idx="0">
                  <c:v>Compuesto v0 (umol/min)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name>0,0</c:nam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MM_Perfil_A!$A$5:$A$10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  <c:pt idx="5">
                  <c:v>24</c:v>
                </c:pt>
              </c:numCache>
            </c:numRef>
          </c:xVal>
          <c:yVal>
            <c:numRef>
              <c:f>MM_Perfil_A!$C$5:$C$10</c:f>
              <c:numCache>
                <c:formatCode>General</c:formatCode>
                <c:ptCount val="6"/>
                <c:pt idx="0">
                  <c:v>17.14</c:v>
                </c:pt>
                <c:pt idx="1">
                  <c:v>30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1A-6C42-9018-4C6D5B407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794112"/>
        <c:axId val="232882623"/>
      </c:scatterChart>
      <c:valAx>
        <c:axId val="212779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32882623"/>
        <c:crosses val="autoZero"/>
        <c:crossBetween val="midCat"/>
      </c:valAx>
      <c:valAx>
        <c:axId val="23288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27794112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LB_Perfil_A!$B$3</c:f>
              <c:strCache>
                <c:ptCount val="1"/>
                <c:pt idx="0">
                  <c:v>1/v0 control (min/umol)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</c:trendlineLbl>
          </c:trendline>
          <c:xVal>
            <c:numRef>
              <c:f>LB_Perfil_A!$A$4:$A$9</c:f>
              <c:numCache>
                <c:formatCode>0.000000</c:formatCode>
                <c:ptCount val="6"/>
                <c:pt idx="0">
                  <c:v>1</c:v>
                </c:pt>
                <c:pt idx="1">
                  <c:v>0.5</c:v>
                </c:pt>
                <c:pt idx="2">
                  <c:v>0.33333299999999999</c:v>
                </c:pt>
                <c:pt idx="3">
                  <c:v>0.16666700000000001</c:v>
                </c:pt>
                <c:pt idx="4">
                  <c:v>8.3333000000000004E-2</c:v>
                </c:pt>
                <c:pt idx="5">
                  <c:v>4.1667000000000003E-2</c:v>
                </c:pt>
              </c:numCache>
            </c:numRef>
          </c:xVal>
          <c:yVal>
            <c:numRef>
              <c:f>LB_Perfil_A!$B$4:$B$9</c:f>
              <c:numCache>
                <c:formatCode>0.000000</c:formatCode>
                <c:ptCount val="6"/>
                <c:pt idx="0">
                  <c:v>3.3333000000000002E-2</c:v>
                </c:pt>
                <c:pt idx="1">
                  <c:v>2.0833000000000001E-2</c:v>
                </c:pt>
                <c:pt idx="2">
                  <c:v>1.6667000000000001E-2</c:v>
                </c:pt>
                <c:pt idx="3">
                  <c:v>1.2500000000000001E-2</c:v>
                </c:pt>
                <c:pt idx="4">
                  <c:v>1.0416999999999999E-2</c:v>
                </c:pt>
                <c:pt idx="5">
                  <c:v>9.3460000000000001E-3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27-184D-9826-5227FEE723DA}"/>
            </c:ext>
          </c:extLst>
        </c:ser>
        <c:ser>
          <c:idx val="1"/>
          <c:order val="1"/>
          <c:tx>
            <c:strRef>
              <c:f>LB_Perfil_A!$C$3</c:f>
              <c:strCache>
                <c:ptCount val="1"/>
                <c:pt idx="0">
                  <c:v>1/v0 compuesto (min/umol)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backward val="1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</c:trendlineLbl>
          </c:trendline>
          <c:xVal>
            <c:numRef>
              <c:f>LB_Perfil_A!$A$4:$A$9</c:f>
              <c:numCache>
                <c:formatCode>0.000000</c:formatCode>
                <c:ptCount val="6"/>
                <c:pt idx="0">
                  <c:v>1</c:v>
                </c:pt>
                <c:pt idx="1">
                  <c:v>0.5</c:v>
                </c:pt>
                <c:pt idx="2">
                  <c:v>0.33333299999999999</c:v>
                </c:pt>
                <c:pt idx="3">
                  <c:v>0.16666700000000001</c:v>
                </c:pt>
                <c:pt idx="4">
                  <c:v>8.3333000000000004E-2</c:v>
                </c:pt>
                <c:pt idx="5">
                  <c:v>4.1667000000000003E-2</c:v>
                </c:pt>
              </c:numCache>
            </c:numRef>
          </c:xVal>
          <c:yVal>
            <c:numRef>
              <c:f>LB_Perfil_A!$C$4:$C$9</c:f>
              <c:numCache>
                <c:formatCode>0.000000</c:formatCode>
                <c:ptCount val="6"/>
                <c:pt idx="0">
                  <c:v>5.8342999999999999E-2</c:v>
                </c:pt>
                <c:pt idx="1">
                  <c:v>3.3333000000000002E-2</c:v>
                </c:pt>
                <c:pt idx="2">
                  <c:v>2.5000000000000001E-2</c:v>
                </c:pt>
                <c:pt idx="3">
                  <c:v>1.6667000000000001E-2</c:v>
                </c:pt>
                <c:pt idx="4">
                  <c:v>1.2500000000000001E-2</c:v>
                </c:pt>
                <c:pt idx="5">
                  <c:v>1.0416999999999999E-2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27-184D-9826-5227FEE72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606975"/>
        <c:axId val="89394687"/>
      </c:scatterChart>
      <c:valAx>
        <c:axId val="317606975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9394687"/>
        <c:crosses val="autoZero"/>
        <c:crossBetween val="midCat"/>
      </c:valAx>
      <c:valAx>
        <c:axId val="8939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17606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MM_Perfil_B!$B$3</c:f>
              <c:strCache>
                <c:ptCount val="1"/>
                <c:pt idx="0">
                  <c:v>Control v0 (umol/min)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MM_Perfil_B!$A$4:$A$9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16</c:v>
                </c:pt>
              </c:numCache>
            </c:numRef>
          </c:xVal>
          <c:yVal>
            <c:numRef>
              <c:f>MM_Perfil_B!$B$4:$B$9</c:f>
              <c:numCache>
                <c:formatCode>General</c:formatCode>
                <c:ptCount val="6"/>
                <c:pt idx="0">
                  <c:v>18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  <c:pt idx="4">
                  <c:v>72</c:v>
                </c:pt>
                <c:pt idx="5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4-B145-AA20-C84B3B78488A}"/>
            </c:ext>
          </c:extLst>
        </c:ser>
        <c:ser>
          <c:idx val="1"/>
          <c:order val="1"/>
          <c:tx>
            <c:strRef>
              <c:f>MM_Perfil_B!$C$3</c:f>
              <c:strCache>
                <c:ptCount val="1"/>
                <c:pt idx="0">
                  <c:v>Compuesto v0 (umol/min)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MM_Perfil_B!$A$4:$A$9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16</c:v>
                </c:pt>
              </c:numCache>
            </c:numRef>
          </c:xVal>
          <c:yVal>
            <c:numRef>
              <c:f>MM_Perfil_B!$C$4:$C$9</c:f>
              <c:numCache>
                <c:formatCode>General</c:formatCode>
                <c:ptCount val="6"/>
                <c:pt idx="0">
                  <c:v>15.88</c:v>
                </c:pt>
                <c:pt idx="1">
                  <c:v>24.55</c:v>
                </c:pt>
                <c:pt idx="2">
                  <c:v>33.75</c:v>
                </c:pt>
                <c:pt idx="3">
                  <c:v>41.54</c:v>
                </c:pt>
                <c:pt idx="4">
                  <c:v>46.96</c:v>
                </c:pt>
                <c:pt idx="5">
                  <c:v>50.23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84-B145-AA20-C84B3B784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513471"/>
        <c:axId val="318519743"/>
      </c:scatterChart>
      <c:valAx>
        <c:axId val="31851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18519743"/>
        <c:crosses val="autoZero"/>
        <c:crossBetween val="midCat"/>
      </c:valAx>
      <c:valAx>
        <c:axId val="31851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18513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LB_Perfil_B!$B$3</c:f>
              <c:strCache>
                <c:ptCount val="1"/>
                <c:pt idx="0">
                  <c:v>1/v0 control (min/umol)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"/>
            <c:dispRSqr val="0"/>
            <c:dispEq val="1"/>
            <c:trendlineLbl>
              <c:layout>
                <c:manualLayout>
                  <c:x val="3.0184133172908512E-2"/>
                  <c:y val="0.137313907709210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</c:trendlineLbl>
          </c:trendline>
          <c:xVal>
            <c:numRef>
              <c:f>LB_Perfil_B!$A$4:$A$9</c:f>
              <c:numCache>
                <c:formatCode>0.000000</c:formatCode>
                <c:ptCount val="6"/>
                <c:pt idx="0">
                  <c:v>2</c:v>
                </c:pt>
                <c:pt idx="1">
                  <c:v>1</c:v>
                </c:pt>
                <c:pt idx="2">
                  <c:v>0.5</c:v>
                </c:pt>
                <c:pt idx="3">
                  <c:v>0.25</c:v>
                </c:pt>
                <c:pt idx="4">
                  <c:v>0.125</c:v>
                </c:pt>
                <c:pt idx="5">
                  <c:v>6.25E-2</c:v>
                </c:pt>
              </c:numCache>
            </c:numRef>
          </c:xVal>
          <c:yVal>
            <c:numRef>
              <c:f>LB_Perfil_B!$B$4:$B$9</c:f>
              <c:numCache>
                <c:formatCode>0.000000</c:formatCode>
                <c:ptCount val="6"/>
                <c:pt idx="0">
                  <c:v>5.5556000000000001E-2</c:v>
                </c:pt>
                <c:pt idx="1">
                  <c:v>3.3333000000000002E-2</c:v>
                </c:pt>
                <c:pt idx="2">
                  <c:v>2.2221999999999999E-2</c:v>
                </c:pt>
                <c:pt idx="3">
                  <c:v>1.6667000000000001E-2</c:v>
                </c:pt>
                <c:pt idx="4">
                  <c:v>1.3889E-2</c:v>
                </c:pt>
                <c:pt idx="5">
                  <c:v>1.2500000000000001E-2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F4-FD4E-8ABD-8FB97220A8B3}"/>
            </c:ext>
          </c:extLst>
        </c:ser>
        <c:ser>
          <c:idx val="1"/>
          <c:order val="1"/>
          <c:tx>
            <c:strRef>
              <c:f>LB_Perfil_B!$C$3</c:f>
              <c:strCache>
                <c:ptCount val="1"/>
                <c:pt idx="0">
                  <c:v>1/v0 compuesto (min/umol)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backward val="1"/>
            <c:dispRSqr val="0"/>
            <c:dispEq val="1"/>
            <c:trendlineLbl>
              <c:layout>
                <c:manualLayout>
                  <c:x val="-4.3316833945079881E-2"/>
                  <c:y val="-1.67565464200695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</c:trendlineLbl>
          </c:trendline>
          <c:xVal>
            <c:numRef>
              <c:f>LB_Perfil_B!$A$4:$A$9</c:f>
              <c:numCache>
                <c:formatCode>0.000000</c:formatCode>
                <c:ptCount val="6"/>
                <c:pt idx="0">
                  <c:v>2</c:v>
                </c:pt>
                <c:pt idx="1">
                  <c:v>1</c:v>
                </c:pt>
                <c:pt idx="2">
                  <c:v>0.5</c:v>
                </c:pt>
                <c:pt idx="3">
                  <c:v>0.25</c:v>
                </c:pt>
                <c:pt idx="4">
                  <c:v>0.125</c:v>
                </c:pt>
                <c:pt idx="5">
                  <c:v>6.25E-2</c:v>
                </c:pt>
              </c:numCache>
            </c:numRef>
          </c:xVal>
          <c:yVal>
            <c:numRef>
              <c:f>LB_Perfil_B!$C$4:$C$9</c:f>
              <c:numCache>
                <c:formatCode>0.000000</c:formatCode>
                <c:ptCount val="6"/>
                <c:pt idx="0">
                  <c:v>6.2972E-2</c:v>
                </c:pt>
                <c:pt idx="1">
                  <c:v>4.0732999999999998E-2</c:v>
                </c:pt>
                <c:pt idx="2">
                  <c:v>2.963E-2</c:v>
                </c:pt>
                <c:pt idx="3">
                  <c:v>2.4073000000000001E-2</c:v>
                </c:pt>
                <c:pt idx="4">
                  <c:v>2.1294E-2</c:v>
                </c:pt>
                <c:pt idx="5">
                  <c:v>1.9909E-2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F4-FD4E-8ABD-8FB97220A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890431"/>
        <c:axId val="460892223"/>
      </c:scatterChart>
      <c:valAx>
        <c:axId val="460890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0892223"/>
        <c:crosses val="autoZero"/>
        <c:crossBetween val="midCat"/>
      </c:valAx>
      <c:valAx>
        <c:axId val="46089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0890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MM_Perfil_C!$B$3</c:f>
              <c:strCache>
                <c:ptCount val="1"/>
                <c:pt idx="0">
                  <c:v>Control v0 (umol/min)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MM_Perfil_C!$A$4:$A$9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  <c:pt idx="5">
                  <c:v>24</c:v>
                </c:pt>
              </c:numCache>
            </c:numRef>
          </c:xVal>
          <c:yVal>
            <c:numRef>
              <c:f>MM_Perfil_C!$B$4:$B$9</c:f>
              <c:numCache>
                <c:formatCode>General</c:formatCode>
                <c:ptCount val="6"/>
                <c:pt idx="0">
                  <c:v>30</c:v>
                </c:pt>
                <c:pt idx="1">
                  <c:v>48</c:v>
                </c:pt>
                <c:pt idx="2">
                  <c:v>60</c:v>
                </c:pt>
                <c:pt idx="3">
                  <c:v>80</c:v>
                </c:pt>
                <c:pt idx="4">
                  <c:v>96</c:v>
                </c:pt>
                <c:pt idx="5">
                  <c:v>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1C-ED44-8495-7CF1FBA8D9CF}"/>
            </c:ext>
          </c:extLst>
        </c:ser>
        <c:ser>
          <c:idx val="1"/>
          <c:order val="1"/>
          <c:tx>
            <c:strRef>
              <c:f>MM_Perfil_C!$C$3</c:f>
              <c:strCache>
                <c:ptCount val="1"/>
                <c:pt idx="0">
                  <c:v>Compuesto v0 (umol/min)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MM_Perfil_C!$A$4:$A$9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  <c:pt idx="5">
                  <c:v>24</c:v>
                </c:pt>
              </c:numCache>
            </c:numRef>
          </c:xVal>
          <c:yVal>
            <c:numRef>
              <c:f>MM_Perfil_C!$C$4:$C$9</c:f>
              <c:numCache>
                <c:formatCode>General</c:formatCode>
                <c:ptCount val="6"/>
                <c:pt idx="0">
                  <c:v>8.57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1C-ED44-8495-7CF1FBA8D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580415"/>
        <c:axId val="457579519"/>
      </c:scatterChart>
      <c:valAx>
        <c:axId val="457580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7579519"/>
        <c:crosses val="autoZero"/>
        <c:crossBetween val="midCat"/>
      </c:valAx>
      <c:valAx>
        <c:axId val="45757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7580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LB_Perfil_C!$B$3</c:f>
              <c:strCache>
                <c:ptCount val="1"/>
                <c:pt idx="0">
                  <c:v>1/v0 control (min/umol)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</c:trendlineLbl>
          </c:trendline>
          <c:xVal>
            <c:numRef>
              <c:f>LB_Perfil_C!$A$4:$A$9</c:f>
              <c:numCache>
                <c:formatCode>0.000000</c:formatCode>
                <c:ptCount val="6"/>
                <c:pt idx="0">
                  <c:v>1</c:v>
                </c:pt>
                <c:pt idx="1">
                  <c:v>0.5</c:v>
                </c:pt>
                <c:pt idx="2">
                  <c:v>0.33333299999999999</c:v>
                </c:pt>
                <c:pt idx="3">
                  <c:v>0.16666700000000001</c:v>
                </c:pt>
                <c:pt idx="4">
                  <c:v>8.3333000000000004E-2</c:v>
                </c:pt>
                <c:pt idx="5">
                  <c:v>4.1667000000000003E-2</c:v>
                </c:pt>
              </c:numCache>
            </c:numRef>
          </c:xVal>
          <c:yVal>
            <c:numRef>
              <c:f>LB_Perfil_C!$B$4:$B$9</c:f>
              <c:numCache>
                <c:formatCode>0.000000</c:formatCode>
                <c:ptCount val="6"/>
                <c:pt idx="0">
                  <c:v>3.3333000000000002E-2</c:v>
                </c:pt>
                <c:pt idx="1">
                  <c:v>2.0833000000000001E-2</c:v>
                </c:pt>
                <c:pt idx="2">
                  <c:v>1.6667000000000001E-2</c:v>
                </c:pt>
                <c:pt idx="3">
                  <c:v>1.2500000000000001E-2</c:v>
                </c:pt>
                <c:pt idx="4">
                  <c:v>1.0416999999999999E-2</c:v>
                </c:pt>
                <c:pt idx="5">
                  <c:v>9.3460000000000001E-3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3B-6247-AA7C-CBBE18F18E8C}"/>
            </c:ext>
          </c:extLst>
        </c:ser>
        <c:ser>
          <c:idx val="1"/>
          <c:order val="1"/>
          <c:tx>
            <c:strRef>
              <c:f>LB_Perfil_C!$C$3</c:f>
              <c:strCache>
                <c:ptCount val="1"/>
                <c:pt idx="0">
                  <c:v>1/v0 compuesto (min/umol)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backward val="1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</c:trendlineLbl>
          </c:trendline>
          <c:xVal>
            <c:numRef>
              <c:f>LB_Perfil_C!$A$4:$A$9</c:f>
              <c:numCache>
                <c:formatCode>0.000000</c:formatCode>
                <c:ptCount val="6"/>
                <c:pt idx="0">
                  <c:v>1</c:v>
                </c:pt>
                <c:pt idx="1">
                  <c:v>0.5</c:v>
                </c:pt>
                <c:pt idx="2">
                  <c:v>0.33333299999999999</c:v>
                </c:pt>
                <c:pt idx="3">
                  <c:v>0.16666700000000001</c:v>
                </c:pt>
                <c:pt idx="4">
                  <c:v>8.3333000000000004E-2</c:v>
                </c:pt>
                <c:pt idx="5">
                  <c:v>4.1667000000000003E-2</c:v>
                </c:pt>
              </c:numCache>
            </c:numRef>
          </c:xVal>
          <c:yVal>
            <c:numRef>
              <c:f>LB_Perfil_C!$C$4:$C$9</c:f>
              <c:numCache>
                <c:formatCode>0.000000</c:formatCode>
                <c:ptCount val="6"/>
                <c:pt idx="0">
                  <c:v>0.116686</c:v>
                </c:pt>
                <c:pt idx="1">
                  <c:v>6.6667000000000004E-2</c:v>
                </c:pt>
                <c:pt idx="2">
                  <c:v>0.05</c:v>
                </c:pt>
                <c:pt idx="3">
                  <c:v>3.3333000000000002E-2</c:v>
                </c:pt>
                <c:pt idx="4">
                  <c:v>2.5000000000000001E-2</c:v>
                </c:pt>
                <c:pt idx="5">
                  <c:v>2.0833000000000001E-2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3B-6247-AA7C-CBBE18F18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410047"/>
        <c:axId val="466411839"/>
      </c:scatterChart>
      <c:valAx>
        <c:axId val="466410047"/>
        <c:scaling>
          <c:orientation val="minMax"/>
          <c:min val="-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6411839"/>
        <c:crosses val="autoZero"/>
        <c:crossBetween val="midCat"/>
      </c:valAx>
      <c:valAx>
        <c:axId val="46641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6410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MM_Perfil_D!$B$3</c:f>
              <c:strCache>
                <c:ptCount val="1"/>
                <c:pt idx="0">
                  <c:v>Control v0 (umol/min)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MM_Perfil_D!$A$4:$A$9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  <c:pt idx="5">
                  <c:v>24</c:v>
                </c:pt>
              </c:numCache>
            </c:numRef>
          </c:xVal>
          <c:yVal>
            <c:numRef>
              <c:f>MM_Perfil_D!$B$4:$B$9</c:f>
              <c:numCache>
                <c:formatCode>General</c:formatCode>
                <c:ptCount val="6"/>
                <c:pt idx="0">
                  <c:v>30</c:v>
                </c:pt>
                <c:pt idx="1">
                  <c:v>48</c:v>
                </c:pt>
                <c:pt idx="2">
                  <c:v>60</c:v>
                </c:pt>
                <c:pt idx="3">
                  <c:v>80</c:v>
                </c:pt>
                <c:pt idx="4">
                  <c:v>96</c:v>
                </c:pt>
                <c:pt idx="5">
                  <c:v>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CA-8A48-A4AC-49C4ED0C2408}"/>
            </c:ext>
          </c:extLst>
        </c:ser>
        <c:ser>
          <c:idx val="1"/>
          <c:order val="1"/>
          <c:tx>
            <c:strRef>
              <c:f>MM_Perfil_D!$C$3</c:f>
              <c:strCache>
                <c:ptCount val="1"/>
                <c:pt idx="0">
                  <c:v>Compuesto v0 (umol/min)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MM_Perfil_D!$A$4:$A$9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  <c:pt idx="5">
                  <c:v>24</c:v>
                </c:pt>
              </c:numCache>
            </c:numRef>
          </c:xVal>
          <c:yVal>
            <c:numRef>
              <c:f>MM_Perfil_D!$C$4:$C$9</c:f>
              <c:numCache>
                <c:formatCode>General</c:formatCode>
                <c:ptCount val="6"/>
                <c:pt idx="0">
                  <c:v>15</c:v>
                </c:pt>
                <c:pt idx="1">
                  <c:v>24</c:v>
                </c:pt>
                <c:pt idx="2">
                  <c:v>30</c:v>
                </c:pt>
                <c:pt idx="3">
                  <c:v>40</c:v>
                </c:pt>
                <c:pt idx="4">
                  <c:v>48</c:v>
                </c:pt>
                <c:pt idx="5">
                  <c:v>53.33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CA-8A48-A4AC-49C4ED0C2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069119"/>
        <c:axId val="466070015"/>
      </c:scatterChart>
      <c:valAx>
        <c:axId val="46606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6070015"/>
        <c:crosses val="autoZero"/>
        <c:crossBetween val="midCat"/>
      </c:valAx>
      <c:valAx>
        <c:axId val="46607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6069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LB_Perfil_D!$B$3</c:f>
              <c:strCache>
                <c:ptCount val="1"/>
                <c:pt idx="0">
                  <c:v>1/v0 control (min/umol)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"/>
            <c:dispRSqr val="0"/>
            <c:dispEq val="0"/>
          </c:trendline>
          <c:xVal>
            <c:numRef>
              <c:f>LB_Perfil_D!$A$4:$A$9</c:f>
              <c:numCache>
                <c:formatCode>0.000000</c:formatCode>
                <c:ptCount val="6"/>
                <c:pt idx="0">
                  <c:v>1</c:v>
                </c:pt>
                <c:pt idx="1">
                  <c:v>0.5</c:v>
                </c:pt>
                <c:pt idx="2">
                  <c:v>0.33333299999999999</c:v>
                </c:pt>
                <c:pt idx="3">
                  <c:v>0.16666700000000001</c:v>
                </c:pt>
                <c:pt idx="4">
                  <c:v>8.3333000000000004E-2</c:v>
                </c:pt>
                <c:pt idx="5">
                  <c:v>4.1667000000000003E-2</c:v>
                </c:pt>
              </c:numCache>
            </c:numRef>
          </c:xVal>
          <c:yVal>
            <c:numRef>
              <c:f>LB_Perfil_D!$B$4:$B$9</c:f>
              <c:numCache>
                <c:formatCode>0.000000</c:formatCode>
                <c:ptCount val="6"/>
                <c:pt idx="0">
                  <c:v>3.3333000000000002E-2</c:v>
                </c:pt>
                <c:pt idx="1">
                  <c:v>2.0833000000000001E-2</c:v>
                </c:pt>
                <c:pt idx="2">
                  <c:v>1.6667000000000001E-2</c:v>
                </c:pt>
                <c:pt idx="3">
                  <c:v>1.2500000000000001E-2</c:v>
                </c:pt>
                <c:pt idx="4">
                  <c:v>1.0416999999999999E-2</c:v>
                </c:pt>
                <c:pt idx="5">
                  <c:v>9.3460000000000001E-3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B8-C442-B738-D901007E8A95}"/>
            </c:ext>
          </c:extLst>
        </c:ser>
        <c:ser>
          <c:idx val="1"/>
          <c:order val="1"/>
          <c:tx>
            <c:strRef>
              <c:f>LB_Perfil_D!$C$3</c:f>
              <c:strCache>
                <c:ptCount val="1"/>
                <c:pt idx="0">
                  <c:v>1/v0 compuesto (min/umol)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backward val="1"/>
            <c:dispRSqr val="0"/>
            <c:dispEq val="0"/>
          </c:trendline>
          <c:xVal>
            <c:numRef>
              <c:f>LB_Perfil_D!$A$4:$A$9</c:f>
              <c:numCache>
                <c:formatCode>0.000000</c:formatCode>
                <c:ptCount val="6"/>
                <c:pt idx="0">
                  <c:v>1</c:v>
                </c:pt>
                <c:pt idx="1">
                  <c:v>0.5</c:v>
                </c:pt>
                <c:pt idx="2">
                  <c:v>0.33333299999999999</c:v>
                </c:pt>
                <c:pt idx="3">
                  <c:v>0.16666700000000001</c:v>
                </c:pt>
                <c:pt idx="4">
                  <c:v>8.3333000000000004E-2</c:v>
                </c:pt>
                <c:pt idx="5">
                  <c:v>4.1667000000000003E-2</c:v>
                </c:pt>
              </c:numCache>
            </c:numRef>
          </c:xVal>
          <c:yVal>
            <c:numRef>
              <c:f>LB_Perfil_D!$C$4:$C$9</c:f>
              <c:numCache>
                <c:formatCode>0.000000</c:formatCode>
                <c:ptCount val="6"/>
                <c:pt idx="0">
                  <c:v>6.6667000000000004E-2</c:v>
                </c:pt>
                <c:pt idx="1">
                  <c:v>4.1667000000000003E-2</c:v>
                </c:pt>
                <c:pt idx="2">
                  <c:v>3.3333000000000002E-2</c:v>
                </c:pt>
                <c:pt idx="3">
                  <c:v>2.5000000000000001E-2</c:v>
                </c:pt>
                <c:pt idx="4">
                  <c:v>2.0833000000000001E-2</c:v>
                </c:pt>
                <c:pt idx="5">
                  <c:v>1.8752000000000001E-2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B8-C442-B738-D901007E8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696447"/>
        <c:axId val="480698239"/>
      </c:scatterChart>
      <c:valAx>
        <c:axId val="480696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0698239"/>
        <c:crosses val="autoZero"/>
        <c:crossBetween val="midCat"/>
      </c:valAx>
      <c:valAx>
        <c:axId val="48069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0696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787400</xdr:colOff>
      <xdr:row>12</xdr:row>
      <xdr:rowOff>50800</xdr:rowOff>
    </xdr:from>
    <xdr:to>
      <xdr:col>14</xdr:col>
      <xdr:colOff>736600</xdr:colOff>
      <xdr:row>37</xdr:row>
      <xdr:rowOff>50800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304E78-9819-4DCE-8929-AF6B37236A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</xdr:row>
      <xdr:rowOff>165100</xdr:rowOff>
    </xdr:from>
    <xdr:to>
      <xdr:col>21</xdr:col>
      <xdr:colOff>304800</xdr:colOff>
      <xdr:row>33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FF2DD6-E57F-4A5B-A27F-BB381AA95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63500</xdr:colOff>
      <xdr:row>14</xdr:row>
      <xdr:rowOff>25400</xdr:rowOff>
    </xdr:from>
    <xdr:to>
      <xdr:col>17</xdr:col>
      <xdr:colOff>406400</xdr:colOff>
      <xdr:row>31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D7C6BA-27B0-D753-CC2B-1837F95001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685800</xdr:colOff>
      <xdr:row>22</xdr:row>
      <xdr:rowOff>177800</xdr:rowOff>
    </xdr:from>
    <xdr:to>
      <xdr:col>19</xdr:col>
      <xdr:colOff>647700</xdr:colOff>
      <xdr:row>44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C8C3FE-4D7F-E28A-903E-D3D368739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800100</xdr:colOff>
      <xdr:row>14</xdr:row>
      <xdr:rowOff>114300</xdr:rowOff>
    </xdr:from>
    <xdr:to>
      <xdr:col>22</xdr:col>
      <xdr:colOff>228600</xdr:colOff>
      <xdr:row>39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4BC24E-BD58-4E3D-2F63-F26B7ABEA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800100</xdr:colOff>
      <xdr:row>17</xdr:row>
      <xdr:rowOff>139700</xdr:rowOff>
    </xdr:from>
    <xdr:to>
      <xdr:col>22</xdr:col>
      <xdr:colOff>88900</xdr:colOff>
      <xdr:row>39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D0FADB-C168-CFC6-CF07-7C192F68B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800100</xdr:colOff>
      <xdr:row>12</xdr:row>
      <xdr:rowOff>38100</xdr:rowOff>
    </xdr:from>
    <xdr:to>
      <xdr:col>23</xdr:col>
      <xdr:colOff>25400</xdr:colOff>
      <xdr:row>39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11E986-C51B-56C2-D3CA-2FAB863C65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800100</xdr:colOff>
      <xdr:row>16</xdr:row>
      <xdr:rowOff>50800</xdr:rowOff>
    </xdr:from>
    <xdr:to>
      <xdr:col>22</xdr:col>
      <xdr:colOff>622300</xdr:colOff>
      <xdr:row>39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B24AC9-8FC2-1EA1-A57E-5072E5DF5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CCCE6-9401-7249-87D7-207932FFA2D9}">
  <dimension ref="A1:C11"/>
  <sheetViews>
    <sheetView topLeftCell="A3" workbookViewId="0">
      <selection activeCell="G14" sqref="G14"/>
    </sheetView>
  </sheetViews>
  <sheetFormatPr baseColWidth="10" defaultRowHeight="16" x14ac:dyDescent="0.2"/>
  <cols>
    <col min="1" max="1" width="19.33203125" customWidth="1"/>
    <col min="2" max="2" width="23.6640625" customWidth="1"/>
    <col min="3" max="3" width="33" customWidth="1"/>
  </cols>
  <sheetData>
    <row r="1" spans="1:3" ht="18" x14ac:dyDescent="0.2">
      <c r="A1" s="1" t="s">
        <v>0</v>
      </c>
    </row>
    <row r="2" spans="1:3" x14ac:dyDescent="0.2">
      <c r="A2" s="2" t="s">
        <v>1</v>
      </c>
    </row>
    <row r="3" spans="1:3" x14ac:dyDescent="0.2">
      <c r="A3" s="3" t="s">
        <v>2</v>
      </c>
      <c r="B3" s="3" t="s">
        <v>3</v>
      </c>
      <c r="C3" s="3" t="s">
        <v>4</v>
      </c>
    </row>
    <row r="4" spans="1:3" x14ac:dyDescent="0.2">
      <c r="A4" s="5">
        <v>0</v>
      </c>
      <c r="B4" s="3">
        <v>0</v>
      </c>
      <c r="C4" s="3">
        <v>0</v>
      </c>
    </row>
    <row r="5" spans="1:3" x14ac:dyDescent="0.2">
      <c r="A5">
        <v>1</v>
      </c>
      <c r="B5">
        <v>30</v>
      </c>
      <c r="C5">
        <v>17.14</v>
      </c>
    </row>
    <row r="6" spans="1:3" x14ac:dyDescent="0.2">
      <c r="A6">
        <v>2</v>
      </c>
      <c r="B6">
        <v>48</v>
      </c>
      <c r="C6">
        <v>30</v>
      </c>
    </row>
    <row r="7" spans="1:3" x14ac:dyDescent="0.2">
      <c r="A7">
        <v>3</v>
      </c>
      <c r="B7">
        <v>60</v>
      </c>
      <c r="C7">
        <v>40</v>
      </c>
    </row>
    <row r="8" spans="1:3" x14ac:dyDescent="0.2">
      <c r="A8">
        <v>6</v>
      </c>
      <c r="B8">
        <v>80</v>
      </c>
      <c r="C8">
        <v>60</v>
      </c>
    </row>
    <row r="9" spans="1:3" x14ac:dyDescent="0.2">
      <c r="A9">
        <v>12</v>
      </c>
      <c r="B9">
        <v>96</v>
      </c>
      <c r="C9">
        <v>80</v>
      </c>
    </row>
    <row r="10" spans="1:3" x14ac:dyDescent="0.2">
      <c r="A10">
        <v>24</v>
      </c>
      <c r="B10">
        <v>107</v>
      </c>
      <c r="C10">
        <v>96</v>
      </c>
    </row>
    <row r="11" spans="1:3" x14ac:dyDescent="0.2">
      <c r="A11" s="2" t="s">
        <v>5</v>
      </c>
      <c r="B11" t="s">
        <v>6</v>
      </c>
      <c r="C11" t="s">
        <v>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CFEC9-39B5-D849-B29C-C5DD498F542B}">
  <dimension ref="A1:C9"/>
  <sheetViews>
    <sheetView topLeftCell="A2" workbookViewId="0">
      <selection activeCell="Y22" sqref="Y22"/>
    </sheetView>
  </sheetViews>
  <sheetFormatPr baseColWidth="10" defaultRowHeight="16" x14ac:dyDescent="0.2"/>
  <sheetData>
    <row r="1" spans="1:3" ht="18" x14ac:dyDescent="0.2">
      <c r="A1" s="1" t="s">
        <v>8</v>
      </c>
    </row>
    <row r="2" spans="1:3" x14ac:dyDescent="0.2">
      <c r="A2" s="2" t="s">
        <v>9</v>
      </c>
    </row>
    <row r="3" spans="1:3" x14ac:dyDescent="0.2">
      <c r="A3" s="3" t="s">
        <v>10</v>
      </c>
      <c r="B3" s="3" t="s">
        <v>11</v>
      </c>
      <c r="C3" s="3" t="s">
        <v>12</v>
      </c>
    </row>
    <row r="4" spans="1:3" x14ac:dyDescent="0.2">
      <c r="A4" s="4">
        <v>1</v>
      </c>
      <c r="B4" s="4">
        <v>3.3333000000000002E-2</v>
      </c>
      <c r="C4" s="4">
        <v>5.8342999999999999E-2</v>
      </c>
    </row>
    <row r="5" spans="1:3" x14ac:dyDescent="0.2">
      <c r="A5" s="4">
        <v>0.5</v>
      </c>
      <c r="B5" s="4">
        <v>2.0833000000000001E-2</v>
      </c>
      <c r="C5" s="4">
        <v>3.3333000000000002E-2</v>
      </c>
    </row>
    <row r="6" spans="1:3" x14ac:dyDescent="0.2">
      <c r="A6" s="4">
        <v>0.33333299999999999</v>
      </c>
      <c r="B6" s="4">
        <v>1.6667000000000001E-2</v>
      </c>
      <c r="C6" s="4">
        <v>2.5000000000000001E-2</v>
      </c>
    </row>
    <row r="7" spans="1:3" x14ac:dyDescent="0.2">
      <c r="A7" s="4">
        <v>0.16666700000000001</v>
      </c>
      <c r="B7" s="4">
        <v>1.2500000000000001E-2</v>
      </c>
      <c r="C7" s="4">
        <v>1.6667000000000001E-2</v>
      </c>
    </row>
    <row r="8" spans="1:3" x14ac:dyDescent="0.2">
      <c r="A8" s="4">
        <v>8.3333000000000004E-2</v>
      </c>
      <c r="B8" s="4">
        <v>1.0416999999999999E-2</v>
      </c>
      <c r="C8" s="4">
        <v>1.2500000000000001E-2</v>
      </c>
    </row>
    <row r="9" spans="1:3" x14ac:dyDescent="0.2">
      <c r="A9" s="4">
        <v>4.1667000000000003E-2</v>
      </c>
      <c r="B9" s="4">
        <v>9.3460000000000001E-3</v>
      </c>
      <c r="C9" s="4">
        <v>1.0416999999999999E-2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21838-8E33-AC45-B0D0-1CF476C2A2B7}">
  <dimension ref="A1:C10"/>
  <sheetViews>
    <sheetView topLeftCell="A4" workbookViewId="0">
      <selection activeCell="Y22" sqref="Y22"/>
    </sheetView>
  </sheetViews>
  <sheetFormatPr baseColWidth="10" defaultRowHeight="16" x14ac:dyDescent="0.2"/>
  <sheetData>
    <row r="1" spans="1:3" ht="18" x14ac:dyDescent="0.2">
      <c r="A1" s="1" t="s">
        <v>13</v>
      </c>
    </row>
    <row r="2" spans="1:3" x14ac:dyDescent="0.2">
      <c r="A2" s="2" t="s">
        <v>14</v>
      </c>
    </row>
    <row r="3" spans="1:3" x14ac:dyDescent="0.2">
      <c r="A3" s="3" t="s">
        <v>2</v>
      </c>
      <c r="B3" s="3" t="s">
        <v>3</v>
      </c>
      <c r="C3" s="3" t="s">
        <v>4</v>
      </c>
    </row>
    <row r="4" spans="1:3" x14ac:dyDescent="0.2">
      <c r="A4">
        <v>0.5</v>
      </c>
      <c r="B4">
        <v>18</v>
      </c>
      <c r="C4">
        <v>15.88</v>
      </c>
    </row>
    <row r="5" spans="1:3" x14ac:dyDescent="0.2">
      <c r="A5">
        <v>1</v>
      </c>
      <c r="B5">
        <v>30</v>
      </c>
      <c r="C5">
        <v>24.55</v>
      </c>
    </row>
    <row r="6" spans="1:3" x14ac:dyDescent="0.2">
      <c r="A6">
        <v>2</v>
      </c>
      <c r="B6">
        <v>45</v>
      </c>
      <c r="C6">
        <v>33.75</v>
      </c>
    </row>
    <row r="7" spans="1:3" x14ac:dyDescent="0.2">
      <c r="A7">
        <v>4</v>
      </c>
      <c r="B7">
        <v>60</v>
      </c>
      <c r="C7">
        <v>41.54</v>
      </c>
    </row>
    <row r="8" spans="1:3" x14ac:dyDescent="0.2">
      <c r="A8">
        <v>8</v>
      </c>
      <c r="B8">
        <v>72</v>
      </c>
      <c r="C8">
        <v>46.96</v>
      </c>
    </row>
    <row r="9" spans="1:3" x14ac:dyDescent="0.2">
      <c r="A9">
        <v>16</v>
      </c>
      <c r="B9">
        <v>80</v>
      </c>
      <c r="C9">
        <v>50.23</v>
      </c>
    </row>
    <row r="10" spans="1:3" x14ac:dyDescent="0.2">
      <c r="A10" s="2" t="s">
        <v>5</v>
      </c>
      <c r="B10" t="s">
        <v>15</v>
      </c>
      <c r="C10" t="s">
        <v>16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44D2A-4092-134A-88CB-51D20FA51AB4}">
  <dimension ref="A1:C9"/>
  <sheetViews>
    <sheetView tabSelected="1" topLeftCell="A9" workbookViewId="0">
      <selection activeCell="AC39" sqref="AC39"/>
    </sheetView>
  </sheetViews>
  <sheetFormatPr baseColWidth="10" defaultRowHeight="16" x14ac:dyDescent="0.2"/>
  <sheetData>
    <row r="1" spans="1:3" ht="18" x14ac:dyDescent="0.2">
      <c r="A1" s="1" t="s">
        <v>17</v>
      </c>
    </row>
    <row r="2" spans="1:3" x14ac:dyDescent="0.2">
      <c r="A2" s="2" t="s">
        <v>18</v>
      </c>
    </row>
    <row r="3" spans="1:3" x14ac:dyDescent="0.2">
      <c r="A3" s="3" t="s">
        <v>10</v>
      </c>
      <c r="B3" s="3" t="s">
        <v>11</v>
      </c>
      <c r="C3" s="3" t="s">
        <v>12</v>
      </c>
    </row>
    <row r="4" spans="1:3" x14ac:dyDescent="0.2">
      <c r="A4" s="4">
        <v>2</v>
      </c>
      <c r="B4" s="4">
        <v>5.5556000000000001E-2</v>
      </c>
      <c r="C4" s="4">
        <v>6.2972E-2</v>
      </c>
    </row>
    <row r="5" spans="1:3" x14ac:dyDescent="0.2">
      <c r="A5" s="4">
        <v>1</v>
      </c>
      <c r="B5" s="4">
        <v>3.3333000000000002E-2</v>
      </c>
      <c r="C5" s="4">
        <v>4.0732999999999998E-2</v>
      </c>
    </row>
    <row r="6" spans="1:3" x14ac:dyDescent="0.2">
      <c r="A6" s="4">
        <v>0.5</v>
      </c>
      <c r="B6" s="4">
        <v>2.2221999999999999E-2</v>
      </c>
      <c r="C6" s="4">
        <v>2.963E-2</v>
      </c>
    </row>
    <row r="7" spans="1:3" x14ac:dyDescent="0.2">
      <c r="A7" s="4">
        <v>0.25</v>
      </c>
      <c r="B7" s="4">
        <v>1.6667000000000001E-2</v>
      </c>
      <c r="C7" s="4">
        <v>2.4073000000000001E-2</v>
      </c>
    </row>
    <row r="8" spans="1:3" x14ac:dyDescent="0.2">
      <c r="A8" s="4">
        <v>0.125</v>
      </c>
      <c r="B8" s="4">
        <v>1.3889E-2</v>
      </c>
      <c r="C8" s="4">
        <v>2.1294E-2</v>
      </c>
    </row>
    <row r="9" spans="1:3" x14ac:dyDescent="0.2">
      <c r="A9" s="4">
        <v>6.25E-2</v>
      </c>
      <c r="B9" s="4">
        <v>1.2500000000000001E-2</v>
      </c>
      <c r="C9" s="4">
        <v>1.9909E-2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CAAB2-D9A7-654D-90FD-B5EBD38B4C77}">
  <dimension ref="A1:C10"/>
  <sheetViews>
    <sheetView workbookViewId="0">
      <selection activeCell="Y35" sqref="Y35"/>
    </sheetView>
  </sheetViews>
  <sheetFormatPr baseColWidth="10" defaultRowHeight="16" x14ac:dyDescent="0.2"/>
  <sheetData>
    <row r="1" spans="1:3" ht="18" x14ac:dyDescent="0.2">
      <c r="A1" s="1" t="s">
        <v>19</v>
      </c>
    </row>
    <row r="2" spans="1:3" x14ac:dyDescent="0.2">
      <c r="A2" s="2" t="s">
        <v>20</v>
      </c>
    </row>
    <row r="3" spans="1:3" x14ac:dyDescent="0.2">
      <c r="A3" s="3" t="s">
        <v>2</v>
      </c>
      <c r="B3" s="3" t="s">
        <v>3</v>
      </c>
      <c r="C3" s="3" t="s">
        <v>4</v>
      </c>
    </row>
    <row r="4" spans="1:3" x14ac:dyDescent="0.2">
      <c r="A4">
        <v>1</v>
      </c>
      <c r="B4">
        <v>30</v>
      </c>
      <c r="C4">
        <v>8.57</v>
      </c>
    </row>
    <row r="5" spans="1:3" x14ac:dyDescent="0.2">
      <c r="A5">
        <v>2</v>
      </c>
      <c r="B5">
        <v>48</v>
      </c>
      <c r="C5">
        <v>15</v>
      </c>
    </row>
    <row r="6" spans="1:3" x14ac:dyDescent="0.2">
      <c r="A6">
        <v>3</v>
      </c>
      <c r="B6">
        <v>60</v>
      </c>
      <c r="C6">
        <v>20</v>
      </c>
    </row>
    <row r="7" spans="1:3" x14ac:dyDescent="0.2">
      <c r="A7">
        <v>6</v>
      </c>
      <c r="B7">
        <v>80</v>
      </c>
      <c r="C7">
        <v>30</v>
      </c>
    </row>
    <row r="8" spans="1:3" x14ac:dyDescent="0.2">
      <c r="A8">
        <v>12</v>
      </c>
      <c r="B8">
        <v>96</v>
      </c>
      <c r="C8">
        <v>40</v>
      </c>
    </row>
    <row r="9" spans="1:3" x14ac:dyDescent="0.2">
      <c r="A9">
        <v>24</v>
      </c>
      <c r="B9">
        <v>107</v>
      </c>
      <c r="C9">
        <v>48</v>
      </c>
    </row>
    <row r="10" spans="1:3" x14ac:dyDescent="0.2">
      <c r="A10" s="2" t="s">
        <v>5</v>
      </c>
      <c r="B10" t="s">
        <v>6</v>
      </c>
      <c r="C10" t="s">
        <v>21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8C998-B936-4441-B28E-A7FDEF13E890}">
  <dimension ref="A1:C9"/>
  <sheetViews>
    <sheetView workbookViewId="0">
      <selection activeCell="Y21" sqref="Y21"/>
    </sheetView>
  </sheetViews>
  <sheetFormatPr baseColWidth="10" defaultRowHeight="16" x14ac:dyDescent="0.2"/>
  <sheetData>
    <row r="1" spans="1:3" ht="18" x14ac:dyDescent="0.2">
      <c r="A1" s="1" t="s">
        <v>22</v>
      </c>
    </row>
    <row r="2" spans="1:3" x14ac:dyDescent="0.2">
      <c r="A2" s="2" t="s">
        <v>23</v>
      </c>
    </row>
    <row r="3" spans="1:3" x14ac:dyDescent="0.2">
      <c r="A3" s="3" t="s">
        <v>10</v>
      </c>
      <c r="B3" s="3" t="s">
        <v>11</v>
      </c>
      <c r="C3" s="3" t="s">
        <v>12</v>
      </c>
    </row>
    <row r="4" spans="1:3" x14ac:dyDescent="0.2">
      <c r="A4" s="4">
        <v>1</v>
      </c>
      <c r="B4" s="4">
        <v>3.3333000000000002E-2</v>
      </c>
      <c r="C4" s="4">
        <v>0.116686</v>
      </c>
    </row>
    <row r="5" spans="1:3" x14ac:dyDescent="0.2">
      <c r="A5" s="4">
        <v>0.5</v>
      </c>
      <c r="B5" s="4">
        <v>2.0833000000000001E-2</v>
      </c>
      <c r="C5" s="4">
        <v>6.6667000000000004E-2</v>
      </c>
    </row>
    <row r="6" spans="1:3" x14ac:dyDescent="0.2">
      <c r="A6" s="4">
        <v>0.33333299999999999</v>
      </c>
      <c r="B6" s="4">
        <v>1.6667000000000001E-2</v>
      </c>
      <c r="C6" s="4">
        <v>0.05</v>
      </c>
    </row>
    <row r="7" spans="1:3" x14ac:dyDescent="0.2">
      <c r="A7" s="4">
        <v>0.16666700000000001</v>
      </c>
      <c r="B7" s="4">
        <v>1.2500000000000001E-2</v>
      </c>
      <c r="C7" s="4">
        <v>3.3333000000000002E-2</v>
      </c>
    </row>
    <row r="8" spans="1:3" x14ac:dyDescent="0.2">
      <c r="A8" s="4">
        <v>8.3333000000000004E-2</v>
      </c>
      <c r="B8" s="4">
        <v>1.0416999999999999E-2</v>
      </c>
      <c r="C8" s="4">
        <v>2.5000000000000001E-2</v>
      </c>
    </row>
    <row r="9" spans="1:3" x14ac:dyDescent="0.2">
      <c r="A9" s="4">
        <v>4.1667000000000003E-2</v>
      </c>
      <c r="B9" s="4">
        <v>9.3460000000000001E-3</v>
      </c>
      <c r="C9" s="4">
        <v>2.0833000000000001E-2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58B01-8FE5-0A49-99C3-F4B2083E70C3}">
  <dimension ref="A1:C10"/>
  <sheetViews>
    <sheetView workbookViewId="0">
      <selection activeCell="AA35" sqref="AA35"/>
    </sheetView>
  </sheetViews>
  <sheetFormatPr baseColWidth="10" defaultRowHeight="16" x14ac:dyDescent="0.2"/>
  <sheetData>
    <row r="1" spans="1:3" ht="18" x14ac:dyDescent="0.2">
      <c r="A1" s="1" t="s">
        <v>24</v>
      </c>
    </row>
    <row r="2" spans="1:3" x14ac:dyDescent="0.2">
      <c r="A2" s="2" t="s">
        <v>25</v>
      </c>
    </row>
    <row r="3" spans="1:3" x14ac:dyDescent="0.2">
      <c r="A3" s="3" t="s">
        <v>2</v>
      </c>
      <c r="B3" s="3" t="s">
        <v>3</v>
      </c>
      <c r="C3" s="3" t="s">
        <v>4</v>
      </c>
    </row>
    <row r="4" spans="1:3" x14ac:dyDescent="0.2">
      <c r="A4">
        <v>1</v>
      </c>
      <c r="B4">
        <v>30</v>
      </c>
      <c r="C4">
        <v>15</v>
      </c>
    </row>
    <row r="5" spans="1:3" x14ac:dyDescent="0.2">
      <c r="A5">
        <v>2</v>
      </c>
      <c r="B5">
        <v>48</v>
      </c>
      <c r="C5">
        <v>24</v>
      </c>
    </row>
    <row r="6" spans="1:3" x14ac:dyDescent="0.2">
      <c r="A6">
        <v>3</v>
      </c>
      <c r="B6">
        <v>60</v>
      </c>
      <c r="C6">
        <v>30</v>
      </c>
    </row>
    <row r="7" spans="1:3" x14ac:dyDescent="0.2">
      <c r="A7">
        <v>6</v>
      </c>
      <c r="B7">
        <v>80</v>
      </c>
      <c r="C7">
        <v>40</v>
      </c>
    </row>
    <row r="8" spans="1:3" x14ac:dyDescent="0.2">
      <c r="A8">
        <v>12</v>
      </c>
      <c r="B8">
        <v>96</v>
      </c>
      <c r="C8">
        <v>48</v>
      </c>
    </row>
    <row r="9" spans="1:3" x14ac:dyDescent="0.2">
      <c r="A9">
        <v>24</v>
      </c>
      <c r="B9">
        <v>107</v>
      </c>
      <c r="C9">
        <v>53.33</v>
      </c>
    </row>
    <row r="10" spans="1:3" x14ac:dyDescent="0.2">
      <c r="A10" s="2" t="s">
        <v>5</v>
      </c>
      <c r="B10" t="s">
        <v>6</v>
      </c>
      <c r="C10" t="s">
        <v>26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D70F2-0E6F-5A43-A463-1EC3A2024E0D}">
  <dimension ref="A1:C9"/>
  <sheetViews>
    <sheetView topLeftCell="A7" workbookViewId="0">
      <selection activeCell="Z30" sqref="Z30"/>
    </sheetView>
  </sheetViews>
  <sheetFormatPr baseColWidth="10" defaultRowHeight="16" x14ac:dyDescent="0.2"/>
  <sheetData>
    <row r="1" spans="1:3" ht="18" x14ac:dyDescent="0.2">
      <c r="A1" s="1" t="s">
        <v>27</v>
      </c>
    </row>
    <row r="2" spans="1:3" x14ac:dyDescent="0.2">
      <c r="A2" s="2" t="s">
        <v>28</v>
      </c>
    </row>
    <row r="3" spans="1:3" x14ac:dyDescent="0.2">
      <c r="A3" s="3" t="s">
        <v>10</v>
      </c>
      <c r="B3" s="3" t="s">
        <v>11</v>
      </c>
      <c r="C3" s="3" t="s">
        <v>12</v>
      </c>
    </row>
    <row r="4" spans="1:3" x14ac:dyDescent="0.2">
      <c r="A4" s="4">
        <v>1</v>
      </c>
      <c r="B4" s="4">
        <v>3.3333000000000002E-2</v>
      </c>
      <c r="C4" s="4">
        <v>6.6667000000000004E-2</v>
      </c>
    </row>
    <row r="5" spans="1:3" x14ac:dyDescent="0.2">
      <c r="A5" s="4">
        <v>0.5</v>
      </c>
      <c r="B5" s="4">
        <v>2.0833000000000001E-2</v>
      </c>
      <c r="C5" s="4">
        <v>4.1667000000000003E-2</v>
      </c>
    </row>
    <row r="6" spans="1:3" x14ac:dyDescent="0.2">
      <c r="A6" s="4">
        <v>0.33333299999999999</v>
      </c>
      <c r="B6" s="4">
        <v>1.6667000000000001E-2</v>
      </c>
      <c r="C6" s="4">
        <v>3.3333000000000002E-2</v>
      </c>
    </row>
    <row r="7" spans="1:3" x14ac:dyDescent="0.2">
      <c r="A7" s="4">
        <v>0.16666700000000001</v>
      </c>
      <c r="B7" s="4">
        <v>1.2500000000000001E-2</v>
      </c>
      <c r="C7" s="4">
        <v>2.5000000000000001E-2</v>
      </c>
    </row>
    <row r="8" spans="1:3" x14ac:dyDescent="0.2">
      <c r="A8" s="4">
        <v>8.3333000000000004E-2</v>
      </c>
      <c r="B8" s="4">
        <v>1.0416999999999999E-2</v>
      </c>
      <c r="C8" s="4">
        <v>2.0833000000000001E-2</v>
      </c>
    </row>
    <row r="9" spans="1:3" x14ac:dyDescent="0.2">
      <c r="A9" s="4">
        <v>4.1667000000000003E-2</v>
      </c>
      <c r="B9" s="4">
        <v>9.3460000000000001E-3</v>
      </c>
      <c r="C9" s="4">
        <v>1.8752000000000001E-2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MM_Perfil_A</vt:lpstr>
      <vt:lpstr>LB_Perfil_A</vt:lpstr>
      <vt:lpstr>MM_Perfil_B</vt:lpstr>
      <vt:lpstr>LB_Perfil_B</vt:lpstr>
      <vt:lpstr>MM_Perfil_C</vt:lpstr>
      <vt:lpstr>LB_Perfil_C</vt:lpstr>
      <vt:lpstr>MM_Perfil_D</vt:lpstr>
      <vt:lpstr>LB_Perfil_D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Ignacio Faundez Parraguez</cp:lastModifiedBy>
  <dcterms:created xsi:type="dcterms:W3CDTF">2026-08-31T22:59:05Z</dcterms:created>
  <dcterms:modified xsi:type="dcterms:W3CDTF">2026-08-31T22:59:05Z</dcterms:modified>
</cp:coreProperties>
</file>